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9757"/>
  </bookViews>
  <sheets>
    <sheet name="Sheet1" sheetId="2" r:id="rId1"/>
    <sheet name="销售情况表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<sst xmlns="http://schemas.openxmlformats.org/spreadsheetml/2006/main" count="105" uniqueCount="44">
  <si>
    <t>性质</t>
  </si>
  <si>
    <t>值</t>
  </si>
  <si>
    <t>加盟</t>
  </si>
  <si>
    <t>自营</t>
  </si>
  <si>
    <t>求和项:本月指标汇总</t>
  </si>
  <si>
    <t>求和项:实际销售金额汇总</t>
  </si>
  <si>
    <t>地区</t>
  </si>
  <si>
    <t>求和项:本月指标</t>
  </si>
  <si>
    <t>求和项:实际销售金额</t>
  </si>
  <si>
    <t>东北</t>
  </si>
  <si>
    <t>华北</t>
  </si>
  <si>
    <t>华中</t>
  </si>
  <si>
    <t>华南</t>
  </si>
  <si>
    <t>华东</t>
  </si>
  <si>
    <t>总计</t>
  </si>
  <si>
    <t>省份</t>
  </si>
  <si>
    <t>城市</t>
  </si>
  <si>
    <t>店名</t>
  </si>
  <si>
    <t>本月指标</t>
  </si>
  <si>
    <t>实际销售金额</t>
  </si>
  <si>
    <t>销售成本</t>
  </si>
  <si>
    <t>辽宁</t>
  </si>
  <si>
    <t>大连</t>
  </si>
  <si>
    <t>AAAA-001</t>
  </si>
  <si>
    <t>AAAA-002</t>
  </si>
  <si>
    <t>AAAA-003</t>
  </si>
  <si>
    <t>沈阳</t>
  </si>
  <si>
    <t>AAAA-004</t>
  </si>
  <si>
    <t>AAAA-005</t>
  </si>
  <si>
    <t>AAAA-006</t>
  </si>
  <si>
    <t>AAAA-007</t>
  </si>
  <si>
    <t>AAAA-008</t>
  </si>
  <si>
    <t>AAAA-009</t>
  </si>
  <si>
    <t>AAAA-010</t>
  </si>
  <si>
    <t>AAAA-011</t>
  </si>
  <si>
    <t>黑龙江</t>
  </si>
  <si>
    <t>齐齐哈尔</t>
  </si>
  <si>
    <t>AAAA-012</t>
  </si>
  <si>
    <t>哈尔滨</t>
  </si>
  <si>
    <t>AAAA-013</t>
  </si>
  <si>
    <t>北京</t>
  </si>
  <si>
    <t>天津</t>
  </si>
  <si>
    <t>AAAA-014</t>
  </si>
  <si>
    <t>AAAA-015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</si>
</sst>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7.5973726852" refreshedBy="35473" recordCount="16">
  <cacheSource type="worksheet">
    <worksheetSource ref="A1:H17" sheet="销售情况表"/>
  </cacheSource>
  <cacheFields count="8">
    <cacheField name="地区" numFmtId="0">
      <sharedItems count="5">
        <s v="东北"/>
        <s v="华中"/>
        <s v="华南"/>
        <s v="华东"/>
        <s v="华北"/>
      </sharedItems>
    </cacheField>
    <cacheField name="省份" numFmtId="0">
      <sharedItems count="4">
        <s v="辽宁"/>
        <s v="黑龙江"/>
        <s v="北京"/>
        <s v="天津"/>
      </sharedItems>
    </cacheField>
    <cacheField name="城市" numFmtId="0">
      <sharedItems count="6">
        <s v="大连"/>
        <s v="沈阳"/>
        <s v="齐齐哈尔"/>
        <s v="哈尔滨"/>
        <s v="北京"/>
        <s v="天津"/>
      </sharedItems>
    </cacheField>
    <cacheField name="性质" numFmtId="0">
      <sharedItems count="2">
        <s v="自营"/>
        <s v="加盟"/>
      </sharedItems>
    </cacheField>
    <cacheField name="店名" numFmtId="0">
      <sharedItems count="15">
        <s v="AAAA-001"/>
        <s v="AAAA-002"/>
        <s v="AAAA-003"/>
        <s v="AAAA-004"/>
        <s v="AAAA-005"/>
        <s v="AAAA-006"/>
        <s v="AAAA-007"/>
        <s v="AAAA-008"/>
        <s v="AAAA-009"/>
        <s v="AAAA-010"/>
        <s v="AAAA-011"/>
        <s v="AAAA-012"/>
        <s v="AAAA-013"/>
        <s v="AAAA-014"/>
        <s v="AAAA-015"/>
      </sharedItems>
    </cacheField>
    <cacheField name="本月指标" numFmtId="0">
      <sharedItems containsSemiMixedTypes="0" containsString="0" containsNumber="1" containsInteger="1" minValue="90000" maxValue="400000" count="14">
        <n v="150000"/>
        <n v="280000"/>
        <n v="190000"/>
        <n v="90000"/>
        <n v="270000"/>
        <n v="180000"/>
        <n v="340000"/>
        <n v="220000"/>
        <n v="120000"/>
        <n v="350000"/>
        <n v="400000"/>
        <n v="260000"/>
        <n v="320000"/>
        <n v="200000"/>
      </sharedItems>
    </cacheField>
    <cacheField name="实际销售金额" numFmtId="0">
      <sharedItems containsSemiMixedTypes="0" containsString="0" containsNumber="1" minValue="47394.5" maxValue="130192.5" count="16">
        <n v="57062"/>
        <n v="130192.5"/>
        <n v="86772"/>
        <n v="103890"/>
        <n v="107766"/>
        <n v="57502"/>
        <n v="116300"/>
        <n v="63287"/>
        <n v="112345"/>
        <n v="80036"/>
        <n v="73686.5"/>
        <n v="47394.5"/>
        <n v="89999"/>
        <n v="57255.6"/>
        <n v="51085.5"/>
        <n v="59378"/>
      </sharedItems>
    </cacheField>
    <cacheField name="销售成本" numFmtId="0">
      <sharedItems containsSemiMixedTypes="0" containsString="0" containsNumber="1" minValue="17406.07" maxValue="577495" count="16">
        <n v="20972.25"/>
        <n v="46208.17"/>
        <n v="31355.81"/>
        <n v="39519.21"/>
        <n v="38357.7"/>
        <n v="20867.31"/>
        <n v="40945.1"/>
        <n v="22490.31"/>
        <n v="39869.15"/>
        <n v="28736.46"/>
        <n v="23879.99"/>
        <n v="17636.83"/>
        <n v="577495"/>
        <n v="19604.2"/>
        <n v="17406.07"/>
        <n v="21060.8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x v="0"/>
    <x v="0"/>
    <x v="0"/>
    <x v="0"/>
    <x v="0"/>
    <x v="0"/>
  </r>
  <r>
    <x v="0"/>
    <x v="0"/>
    <x v="0"/>
    <x v="0"/>
    <x v="1"/>
    <x v="1"/>
    <x v="1"/>
    <x v="1"/>
  </r>
  <r>
    <x v="0"/>
    <x v="0"/>
    <x v="0"/>
    <x v="0"/>
    <x v="2"/>
    <x v="2"/>
    <x v="2"/>
    <x v="2"/>
  </r>
  <r>
    <x v="1"/>
    <x v="0"/>
    <x v="1"/>
    <x v="0"/>
    <x v="3"/>
    <x v="3"/>
    <x v="3"/>
    <x v="3"/>
  </r>
  <r>
    <x v="0"/>
    <x v="0"/>
    <x v="1"/>
    <x v="0"/>
    <x v="4"/>
    <x v="4"/>
    <x v="4"/>
    <x v="4"/>
  </r>
  <r>
    <x v="2"/>
    <x v="0"/>
    <x v="1"/>
    <x v="0"/>
    <x v="5"/>
    <x v="5"/>
    <x v="5"/>
    <x v="5"/>
  </r>
  <r>
    <x v="0"/>
    <x v="0"/>
    <x v="1"/>
    <x v="0"/>
    <x v="6"/>
    <x v="1"/>
    <x v="6"/>
    <x v="6"/>
  </r>
  <r>
    <x v="0"/>
    <x v="0"/>
    <x v="1"/>
    <x v="0"/>
    <x v="7"/>
    <x v="6"/>
    <x v="7"/>
    <x v="7"/>
  </r>
  <r>
    <x v="0"/>
    <x v="0"/>
    <x v="1"/>
    <x v="0"/>
    <x v="8"/>
    <x v="0"/>
    <x v="8"/>
    <x v="8"/>
  </r>
  <r>
    <x v="3"/>
    <x v="0"/>
    <x v="1"/>
    <x v="0"/>
    <x v="9"/>
    <x v="7"/>
    <x v="9"/>
    <x v="9"/>
  </r>
  <r>
    <x v="0"/>
    <x v="0"/>
    <x v="1"/>
    <x v="0"/>
    <x v="10"/>
    <x v="8"/>
    <x v="10"/>
    <x v="10"/>
  </r>
  <r>
    <x v="0"/>
    <x v="1"/>
    <x v="2"/>
    <x v="1"/>
    <x v="11"/>
    <x v="9"/>
    <x v="11"/>
    <x v="11"/>
  </r>
  <r>
    <x v="0"/>
    <x v="1"/>
    <x v="3"/>
    <x v="0"/>
    <x v="12"/>
    <x v="10"/>
    <x v="12"/>
    <x v="12"/>
  </r>
  <r>
    <x v="4"/>
    <x v="2"/>
    <x v="4"/>
    <x v="1"/>
    <x v="12"/>
    <x v="11"/>
    <x v="13"/>
    <x v="13"/>
  </r>
  <r>
    <x v="4"/>
    <x v="3"/>
    <x v="5"/>
    <x v="1"/>
    <x v="13"/>
    <x v="12"/>
    <x v="14"/>
    <x v="14"/>
  </r>
  <r>
    <x v="4"/>
    <x v="2"/>
    <x v="4"/>
    <x v="0"/>
    <x v="14"/>
    <x v="13"/>
    <x v="15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G11" firstHeaderRow="1" firstDataRow="3" firstDataCol="1"/>
  <pivotFields count="8">
    <pivotField axis="axisRow" compact="0" showAll="0">
      <items count="6">
        <item x="0"/>
        <item x="4"/>
        <item x="1"/>
        <item x="2"/>
        <item x="3"/>
        <item t="default"/>
      </items>
    </pivotField>
    <pivotField compact="0" showAll="0"/>
    <pivotField compact="0" showAll="0"/>
    <pivotField axis="axisCol" compact="0" multipleItemSelectionAllowed="1" showAll="0">
      <items count="3">
        <item x="1"/>
        <item x="0"/>
        <item t="default"/>
      </items>
    </pivotField>
    <pivotField compact="0" showAll="0"/>
    <pivotField dataField="1" compact="0" showAll="0"/>
    <pivotField dataField="1"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求和项:本月指标" fld="5" baseField="0" baseItem="0"/>
    <dataField name="求和项:实际销售金额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1"/>
  <sheetViews>
    <sheetView tabSelected="1" workbookViewId="0">
      <selection activeCell="D7" sqref="D7"/>
    </sheetView>
  </sheetViews>
  <sheetFormatPr defaultColWidth="9.02654867256637" defaultRowHeight="13.5" outlineLevelCol="6"/>
  <cols>
    <col min="1" max="1" width="7.51327433628319"/>
    <col min="2" max="6" width="21.0884955752212"/>
    <col min="7" max="7" width="25.3451327433628"/>
  </cols>
  <sheetData>
    <row r="3" spans="1:7">
      <c r="B3" t="s">
        <v>0</v>
      </c>
      <c r="C3" t="s">
        <v>1</v>
      </c>
    </row>
    <row r="4" spans="1:7">
      <c r="B4" t="s">
        <v>2</v>
      </c>
      <c r="C4"/>
      <c r="D4" t="s">
        <v>3</v>
      </c>
      <c r="E4"/>
      <c r="F4" t="s">
        <v>4</v>
      </c>
      <c r="G4" t="s">
        <v>5</v>
      </c>
    </row>
    <row r="5" spans="1:7">
      <c r="A5" t="s">
        <v>6</v>
      </c>
      <c r="B5" t="s">
        <v>7</v>
      </c>
      <c r="C5" t="s">
        <v>8</v>
      </c>
      <c r="D5" t="s">
        <v>7</v>
      </c>
      <c r="E5" t="s">
        <v>8</v>
      </c>
    </row>
    <row r="6" spans="1:7">
      <c r="A6" t="s">
        <v>9</v>
      </c>
      <c r="B6">
        <v>350000</v>
      </c>
      <c r="C6">
        <v>47394.5</v>
      </c>
      <c r="D6">
        <v>2180000</v>
      </c>
      <c r="E6">
        <v>837410</v>
      </c>
      <c r="F6">
        <v>2530000</v>
      </c>
      <c r="G6">
        <v>884804.5</v>
      </c>
    </row>
    <row r="7" spans="1:7">
      <c r="A7" t="s">
        <v>10</v>
      </c>
      <c r="B7">
        <v>580000</v>
      </c>
      <c r="C7">
        <v>108341.1</v>
      </c>
      <c r="D7">
        <v>200000</v>
      </c>
      <c r="E7">
        <v>59378</v>
      </c>
      <c r="F7">
        <v>780000</v>
      </c>
      <c r="G7">
        <v>167719.1</v>
      </c>
    </row>
    <row r="8" spans="1:7">
      <c r="A8" t="s">
        <v>11</v>
      </c>
      <c r="B8"/>
      <c r="C8"/>
      <c r="D8">
        <v>90000</v>
      </c>
      <c r="E8">
        <v>103890</v>
      </c>
      <c r="F8">
        <v>90000</v>
      </c>
      <c r="G8">
        <v>103890</v>
      </c>
    </row>
    <row r="9" spans="1:7">
      <c r="A9" t="s">
        <v>12</v>
      </c>
      <c r="B9"/>
      <c r="C9"/>
      <c r="D9">
        <v>180000</v>
      </c>
      <c r="E9">
        <v>57502</v>
      </c>
      <c r="F9">
        <v>180000</v>
      </c>
      <c r="G9">
        <v>57502</v>
      </c>
    </row>
    <row r="10" spans="1:7">
      <c r="A10" t="s">
        <v>13</v>
      </c>
      <c r="B10"/>
      <c r="C10"/>
      <c r="D10">
        <v>220000</v>
      </c>
      <c r="E10">
        <v>80036</v>
      </c>
      <c r="F10">
        <v>220000</v>
      </c>
      <c r="G10">
        <v>80036</v>
      </c>
    </row>
    <row r="11" spans="1:7">
      <c r="A11" t="s">
        <v>14</v>
      </c>
      <c r="B11">
        <v>930000</v>
      </c>
      <c r="C11">
        <v>155735.6</v>
      </c>
      <c r="D11">
        <v>2870000</v>
      </c>
      <c r="E11">
        <v>1138216</v>
      </c>
      <c r="F11">
        <v>3800000</v>
      </c>
      <c r="G11">
        <v>1293951.6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I22" sqref="I22"/>
    </sheetView>
  </sheetViews>
  <sheetFormatPr defaultColWidth="9" defaultRowHeight="13.5" outlineLevelCol="7"/>
  <cols>
    <col min="1" max="1" width="8" customWidth="1"/>
    <col min="2" max="3" width="10" customWidth="1"/>
    <col min="4" max="4" width="8" customWidth="1"/>
    <col min="5" max="6" width="12" customWidth="1"/>
    <col min="7" max="7" width="15" customWidth="1"/>
    <col min="8" max="8" width="12" customWidth="1"/>
  </cols>
  <sheetData>
    <row r="1" spans="1:8">
      <c r="A1" s="1" t="s">
        <v>6</v>
      </c>
      <c r="B1" s="1" t="s">
        <v>15</v>
      </c>
      <c r="C1" s="1" t="s">
        <v>16</v>
      </c>
      <c r="D1" s="1" t="s">
        <v>0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 s="2" t="s">
        <v>9</v>
      </c>
      <c r="B2" s="2" t="s">
        <v>21</v>
      </c>
      <c r="C2" s="2" t="s">
        <v>22</v>
      </c>
      <c r="D2" s="2" t="s">
        <v>3</v>
      </c>
      <c r="E2" s="2" t="s">
        <v>23</v>
      </c>
      <c r="F2" s="2">
        <v>150000</v>
      </c>
      <c r="G2" s="2">
        <v>57062</v>
      </c>
      <c r="H2" s="2">
        <v>20972.25</v>
      </c>
    </row>
    <row r="3" spans="1:8">
      <c r="A3" s="2" t="s">
        <v>9</v>
      </c>
      <c r="B3" s="2" t="s">
        <v>21</v>
      </c>
      <c r="C3" s="2" t="s">
        <v>22</v>
      </c>
      <c r="D3" s="2" t="s">
        <v>3</v>
      </c>
      <c r="E3" s="2" t="s">
        <v>24</v>
      </c>
      <c r="F3" s="2">
        <v>280000</v>
      </c>
      <c r="G3" s="2">
        <v>130192.5</v>
      </c>
      <c r="H3" s="2">
        <v>46208.17</v>
      </c>
    </row>
    <row r="4" spans="1:8">
      <c r="A4" s="2" t="s">
        <v>9</v>
      </c>
      <c r="B4" s="2" t="s">
        <v>21</v>
      </c>
      <c r="C4" s="2" t="s">
        <v>22</v>
      </c>
      <c r="D4" s="2" t="s">
        <v>3</v>
      </c>
      <c r="E4" s="2" t="s">
        <v>25</v>
      </c>
      <c r="F4" s="2">
        <v>190000</v>
      </c>
      <c r="G4" s="2">
        <v>86772</v>
      </c>
      <c r="H4" s="2">
        <v>31355.81</v>
      </c>
    </row>
    <row r="5" spans="1:8">
      <c r="A5" s="2" t="s">
        <v>11</v>
      </c>
      <c r="B5" s="2" t="s">
        <v>21</v>
      </c>
      <c r="C5" s="2" t="s">
        <v>26</v>
      </c>
      <c r="D5" s="2" t="s">
        <v>3</v>
      </c>
      <c r="E5" s="2" t="s">
        <v>27</v>
      </c>
      <c r="F5" s="2">
        <v>90000</v>
      </c>
      <c r="G5" s="2">
        <v>103890</v>
      </c>
      <c r="H5" s="2">
        <v>39519.21</v>
      </c>
    </row>
    <row r="6" spans="1:8">
      <c r="A6" s="2" t="s">
        <v>9</v>
      </c>
      <c r="B6" s="2" t="s">
        <v>21</v>
      </c>
      <c r="C6" s="2" t="s">
        <v>26</v>
      </c>
      <c r="D6" s="2" t="s">
        <v>3</v>
      </c>
      <c r="E6" s="2" t="s">
        <v>28</v>
      </c>
      <c r="F6" s="2">
        <v>270000</v>
      </c>
      <c r="G6" s="2">
        <v>107766</v>
      </c>
      <c r="H6" s="2">
        <v>38357.7</v>
      </c>
    </row>
    <row r="7" spans="1:8">
      <c r="A7" s="2" t="s">
        <v>12</v>
      </c>
      <c r="B7" s="2" t="s">
        <v>21</v>
      </c>
      <c r="C7" s="2" t="s">
        <v>26</v>
      </c>
      <c r="D7" s="2" t="s">
        <v>3</v>
      </c>
      <c r="E7" s="2" t="s">
        <v>29</v>
      </c>
      <c r="F7" s="2">
        <v>180000</v>
      </c>
      <c r="G7" s="2">
        <v>57502</v>
      </c>
      <c r="H7" s="2">
        <v>20867.31</v>
      </c>
    </row>
    <row r="8" spans="1:8">
      <c r="A8" s="2" t="s">
        <v>9</v>
      </c>
      <c r="B8" s="2" t="s">
        <v>21</v>
      </c>
      <c r="C8" s="2" t="s">
        <v>26</v>
      </c>
      <c r="D8" s="2" t="s">
        <v>3</v>
      </c>
      <c r="E8" s="2" t="s">
        <v>30</v>
      </c>
      <c r="F8" s="2">
        <v>280000</v>
      </c>
      <c r="G8" s="2">
        <v>116300</v>
      </c>
      <c r="H8" s="2">
        <v>40945.1</v>
      </c>
    </row>
    <row r="9" spans="1:8">
      <c r="A9" s="2" t="s">
        <v>9</v>
      </c>
      <c r="B9" s="2" t="s">
        <v>21</v>
      </c>
      <c r="C9" s="2" t="s">
        <v>26</v>
      </c>
      <c r="D9" s="2" t="s">
        <v>3</v>
      </c>
      <c r="E9" s="2" t="s">
        <v>31</v>
      </c>
      <c r="F9" s="2">
        <v>340000</v>
      </c>
      <c r="G9" s="2">
        <v>63287</v>
      </c>
      <c r="H9" s="2">
        <v>22490.31</v>
      </c>
    </row>
    <row r="10" spans="1:8">
      <c r="A10" s="2" t="s">
        <v>9</v>
      </c>
      <c r="B10" s="2" t="s">
        <v>21</v>
      </c>
      <c r="C10" s="2" t="s">
        <v>26</v>
      </c>
      <c r="D10" s="2" t="s">
        <v>3</v>
      </c>
      <c r="E10" s="2" t="s">
        <v>32</v>
      </c>
      <c r="F10" s="2">
        <v>150000</v>
      </c>
      <c r="G10" s="2">
        <v>112345</v>
      </c>
      <c r="H10" s="2">
        <v>39869.15</v>
      </c>
    </row>
    <row r="11" spans="1:8">
      <c r="A11" s="2" t="s">
        <v>13</v>
      </c>
      <c r="B11" s="2" t="s">
        <v>21</v>
      </c>
      <c r="C11" s="2" t="s">
        <v>26</v>
      </c>
      <c r="D11" s="2" t="s">
        <v>3</v>
      </c>
      <c r="E11" s="2" t="s">
        <v>33</v>
      </c>
      <c r="F11" s="2">
        <v>220000</v>
      </c>
      <c r="G11" s="2">
        <v>80036</v>
      </c>
      <c r="H11" s="2">
        <v>28736.46</v>
      </c>
    </row>
    <row r="12" spans="1:8">
      <c r="A12" s="2" t="s">
        <v>9</v>
      </c>
      <c r="B12" s="2" t="s">
        <v>21</v>
      </c>
      <c r="C12" s="2" t="s">
        <v>26</v>
      </c>
      <c r="D12" s="2" t="s">
        <v>3</v>
      </c>
      <c r="E12" s="2" t="s">
        <v>34</v>
      </c>
      <c r="F12" s="2">
        <v>120000</v>
      </c>
      <c r="G12" s="2">
        <v>73686.5</v>
      </c>
      <c r="H12" s="2">
        <v>23879.99</v>
      </c>
    </row>
    <row r="13" spans="1:8">
      <c r="A13" s="2" t="s">
        <v>9</v>
      </c>
      <c r="B13" s="2" t="s">
        <v>35</v>
      </c>
      <c r="C13" s="2" t="s">
        <v>36</v>
      </c>
      <c r="D13" s="2" t="s">
        <v>2</v>
      </c>
      <c r="E13" s="2" t="s">
        <v>37</v>
      </c>
      <c r="F13" s="2">
        <v>350000</v>
      </c>
      <c r="G13" s="2">
        <v>47394.5</v>
      </c>
      <c r="H13" s="2">
        <v>17636.83</v>
      </c>
    </row>
    <row r="14" spans="1:8">
      <c r="A14" s="2" t="s">
        <v>9</v>
      </c>
      <c r="B14" s="2" t="s">
        <v>35</v>
      </c>
      <c r="C14" s="2" t="s">
        <v>38</v>
      </c>
      <c r="D14" s="2" t="s">
        <v>3</v>
      </c>
      <c r="E14" s="2" t="s">
        <v>39</v>
      </c>
      <c r="F14" s="2">
        <v>400000</v>
      </c>
      <c r="G14" s="2">
        <v>89999</v>
      </c>
      <c r="H14" s="2">
        <v>577495</v>
      </c>
    </row>
    <row r="15" spans="1:8">
      <c r="A15" s="2" t="s">
        <v>10</v>
      </c>
      <c r="B15" s="2" t="s">
        <v>40</v>
      </c>
      <c r="C15" s="2" t="s">
        <v>40</v>
      </c>
      <c r="D15" s="2" t="s">
        <v>2</v>
      </c>
      <c r="E15" s="2" t="s">
        <v>39</v>
      </c>
      <c r="F15" s="2">
        <v>260000</v>
      </c>
      <c r="G15" s="2">
        <v>57255.6</v>
      </c>
      <c r="H15" s="2">
        <v>19604.2</v>
      </c>
    </row>
    <row r="16" spans="1:8">
      <c r="A16" s="2" t="s">
        <v>10</v>
      </c>
      <c r="B16" s="2" t="s">
        <v>41</v>
      </c>
      <c r="C16" s="2" t="s">
        <v>41</v>
      </c>
      <c r="D16" s="2" t="s">
        <v>2</v>
      </c>
      <c r="E16" s="2" t="s">
        <v>42</v>
      </c>
      <c r="F16" s="2">
        <v>320000</v>
      </c>
      <c r="G16" s="2">
        <v>51085.5</v>
      </c>
      <c r="H16" s="2">
        <v>17406.07</v>
      </c>
    </row>
    <row r="17" spans="1:8">
      <c r="A17" s="2" t="s">
        <v>10</v>
      </c>
      <c r="B17" s="2" t="s">
        <v>40</v>
      </c>
      <c r="C17" s="2" t="s">
        <v>40</v>
      </c>
      <c r="D17" s="2" t="s">
        <v>3</v>
      </c>
      <c r="E17" s="2" t="s">
        <v>43</v>
      </c>
      <c r="F17" s="2">
        <v>200000</v>
      </c>
      <c r="G17" s="2">
        <v>59378</v>
      </c>
      <c r="H17" s="2">
        <v>21060.84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销售情况表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2026-05-18T13:28:00Z</dcterms:created>
  <dcterms:modified xsi:type="dcterms:W3CDTF">2026-05-25T06:25:42Z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6DD4A4987F0645C9BF79936FCE34B802_13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