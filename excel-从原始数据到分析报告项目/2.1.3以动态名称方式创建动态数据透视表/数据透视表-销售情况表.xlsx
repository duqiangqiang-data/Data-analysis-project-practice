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37" windowHeight="9757"/>
  </bookViews>
  <sheets>
    <sheet name="Sheet1" sheetId="2" r:id="rId1"/>
    <sheet name="销售情况表" sheetId="1" r:id="rId2"/>
  </sheets>
  <definedNames>
    <definedName name="Data" comment="=offset(销售情况表!$A$1,0,0,counta(销售情况表!$A$1),1)" localSheetId="1">销售情况表!$H$6+销售情况表!$A$1:$H$17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<sst xmlns="http://schemas.openxmlformats.org/spreadsheetml/2006/main" count="112" uniqueCount="43">
  <si>
    <t>性质</t>
  </si>
  <si>
    <t>值</t>
  </si>
  <si>
    <t>加盟</t>
  </si>
  <si>
    <t>自营</t>
  </si>
  <si>
    <t>求和项:本月指标汇总</t>
  </si>
  <si>
    <t>求和项:实际销售金额汇总</t>
  </si>
  <si>
    <t>求和项:销售成本汇总</t>
  </si>
  <si>
    <t>地区</t>
  </si>
  <si>
    <t>城市</t>
  </si>
  <si>
    <t>求和项:本月指标</t>
  </si>
  <si>
    <t>求和项:实际销售金额</t>
  </si>
  <si>
    <t>求和项:销售成本</t>
  </si>
  <si>
    <t>东北</t>
  </si>
  <si>
    <t>大连</t>
  </si>
  <si>
    <t>哈尔滨</t>
  </si>
  <si>
    <t>齐齐哈尔</t>
  </si>
  <si>
    <t>沈阳</t>
  </si>
  <si>
    <t>华北</t>
  </si>
  <si>
    <t>北京</t>
  </si>
  <si>
    <t>天津</t>
  </si>
  <si>
    <t>总计</t>
  </si>
  <si>
    <t>省份</t>
  </si>
  <si>
    <t>店名</t>
  </si>
  <si>
    <t>本月指标</t>
  </si>
  <si>
    <t>实际销售金额</t>
  </si>
  <si>
    <t>销售成本</t>
  </si>
  <si>
    <t>辽宁</t>
  </si>
  <si>
    <t>AAAA-001</t>
  </si>
  <si>
    <t>AAAA-002</t>
  </si>
  <si>
    <t>AAAA-003</t>
  </si>
  <si>
    <t>AAAA-004</t>
  </si>
  <si>
    <t>AAAA-005</t>
  </si>
  <si>
    <t>AAAA-006</t>
  </si>
  <si>
    <t>AAAA-007</t>
  </si>
  <si>
    <t>AAAA-008</t>
  </si>
  <si>
    <t>AAAA-009</t>
  </si>
  <si>
    <t>AAAA-010</t>
  </si>
  <si>
    <t>AAAA-011</t>
  </si>
  <si>
    <t>黑龙江</t>
  </si>
  <si>
    <t>AAAA-012</t>
  </si>
  <si>
    <t>AAAA-013</t>
  </si>
  <si>
    <t>AAAA-014</t>
  </si>
  <si>
    <t>AAAA-015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</si>
</sst>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7.6274884259" refreshedBy="35473" recordCount="16">
  <cacheSource type="worksheet">
    <worksheetSource name="表1"/>
  </cacheSource>
  <cacheFields count="8">
    <cacheField name="地区" numFmtId="0">
      <sharedItems count="2">
        <s v="东北"/>
        <s v="华北"/>
      </sharedItems>
    </cacheField>
    <cacheField name="省份" numFmtId="0">
      <sharedItems count="4">
        <s v="辽宁"/>
        <s v="黑龙江"/>
        <s v="北京"/>
        <s v="天津"/>
      </sharedItems>
    </cacheField>
    <cacheField name="城市" numFmtId="0">
      <sharedItems count="6">
        <s v="大连"/>
        <s v="沈阳"/>
        <s v="齐齐哈尔"/>
        <s v="哈尔滨"/>
        <s v="北京"/>
        <s v="天津"/>
      </sharedItems>
    </cacheField>
    <cacheField name="性质" numFmtId="0">
      <sharedItems count="2">
        <s v="自营"/>
        <s v="加盟"/>
      </sharedItems>
    </cacheField>
    <cacheField name="店名" numFmtId="0">
      <sharedItems count="15">
        <s v="AAAA-001"/>
        <s v="AAAA-002"/>
        <s v="AAAA-003"/>
        <s v="AAAA-004"/>
        <s v="AAAA-005"/>
        <s v="AAAA-006"/>
        <s v="AAAA-007"/>
        <s v="AAAA-008"/>
        <s v="AAAA-009"/>
        <s v="AAAA-010"/>
        <s v="AAAA-011"/>
        <s v="AAAA-012"/>
        <s v="AAAA-013"/>
        <s v="AAAA-014"/>
        <s v="AAAA-015"/>
      </sharedItems>
    </cacheField>
    <cacheField name="本月指标" numFmtId="0">
      <sharedItems containsSemiMixedTypes="0" containsString="0" containsNumber="1" containsInteger="1" minValue="90000" maxValue="400000" count="14">
        <n v="150000"/>
        <n v="280000"/>
        <n v="190000"/>
        <n v="90000"/>
        <n v="270000"/>
        <n v="180000"/>
        <n v="340000"/>
        <n v="220000"/>
        <n v="120000"/>
        <n v="350000"/>
        <n v="400000"/>
        <n v="260000"/>
        <n v="320000"/>
        <n v="200000"/>
      </sharedItems>
    </cacheField>
    <cacheField name="实际销售金额" numFmtId="0">
      <sharedItems containsSemiMixedTypes="0" containsString="0" containsNumber="1" minValue="47394.5" maxValue="130192.5" count="16">
        <n v="57062"/>
        <n v="130192.5"/>
        <n v="86772"/>
        <n v="103890"/>
        <n v="107766"/>
        <n v="57502"/>
        <n v="116300"/>
        <n v="63287"/>
        <n v="112345"/>
        <n v="80036"/>
        <n v="73686.5"/>
        <n v="47394.5"/>
        <n v="89999"/>
        <n v="57255.6"/>
        <n v="51085.5"/>
        <n v="59378"/>
      </sharedItems>
    </cacheField>
    <cacheField name="销售成本" numFmtId="0">
      <sharedItems containsSemiMixedTypes="0" containsString="0" containsNumber="1" minValue="17406.07" maxValue="577495" count="16">
        <n v="20972.25"/>
        <n v="46208.17"/>
        <n v="31355.81"/>
        <n v="39519.21"/>
        <n v="38357.7"/>
        <n v="20867.31"/>
        <n v="40945.1"/>
        <n v="22490.31"/>
        <n v="39869.15"/>
        <n v="28736.46"/>
        <n v="23879.99"/>
        <n v="17636.83"/>
        <n v="577495"/>
        <n v="19604.2"/>
        <n v="17406.07"/>
        <n v="21060.8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x v="0"/>
    <x v="0"/>
    <x v="0"/>
    <x v="0"/>
    <x v="0"/>
    <x v="0"/>
  </r>
  <r>
    <x v="0"/>
    <x v="0"/>
    <x v="0"/>
    <x v="0"/>
    <x v="1"/>
    <x v="1"/>
    <x v="1"/>
    <x v="1"/>
  </r>
  <r>
    <x v="0"/>
    <x v="0"/>
    <x v="0"/>
    <x v="0"/>
    <x v="2"/>
    <x v="2"/>
    <x v="2"/>
    <x v="2"/>
  </r>
  <r>
    <x v="0"/>
    <x v="0"/>
    <x v="1"/>
    <x v="0"/>
    <x v="3"/>
    <x v="3"/>
    <x v="3"/>
    <x v="3"/>
  </r>
  <r>
    <x v="0"/>
    <x v="0"/>
    <x v="1"/>
    <x v="0"/>
    <x v="4"/>
    <x v="4"/>
    <x v="4"/>
    <x v="4"/>
  </r>
  <r>
    <x v="0"/>
    <x v="0"/>
    <x v="1"/>
    <x v="0"/>
    <x v="5"/>
    <x v="5"/>
    <x v="5"/>
    <x v="5"/>
  </r>
  <r>
    <x v="0"/>
    <x v="0"/>
    <x v="1"/>
    <x v="0"/>
    <x v="6"/>
    <x v="1"/>
    <x v="6"/>
    <x v="6"/>
  </r>
  <r>
    <x v="0"/>
    <x v="0"/>
    <x v="1"/>
    <x v="0"/>
    <x v="7"/>
    <x v="6"/>
    <x v="7"/>
    <x v="7"/>
  </r>
  <r>
    <x v="0"/>
    <x v="0"/>
    <x v="1"/>
    <x v="0"/>
    <x v="8"/>
    <x v="0"/>
    <x v="8"/>
    <x v="8"/>
  </r>
  <r>
    <x v="0"/>
    <x v="0"/>
    <x v="1"/>
    <x v="0"/>
    <x v="9"/>
    <x v="7"/>
    <x v="9"/>
    <x v="9"/>
  </r>
  <r>
    <x v="0"/>
    <x v="0"/>
    <x v="1"/>
    <x v="0"/>
    <x v="10"/>
    <x v="8"/>
    <x v="10"/>
    <x v="10"/>
  </r>
  <r>
    <x v="0"/>
    <x v="1"/>
    <x v="2"/>
    <x v="1"/>
    <x v="11"/>
    <x v="9"/>
    <x v="11"/>
    <x v="11"/>
  </r>
  <r>
    <x v="0"/>
    <x v="1"/>
    <x v="3"/>
    <x v="0"/>
    <x v="12"/>
    <x v="10"/>
    <x v="12"/>
    <x v="12"/>
  </r>
  <r>
    <x v="1"/>
    <x v="2"/>
    <x v="4"/>
    <x v="1"/>
    <x v="12"/>
    <x v="11"/>
    <x v="13"/>
    <x v="13"/>
  </r>
  <r>
    <x v="1"/>
    <x v="3"/>
    <x v="5"/>
    <x v="1"/>
    <x v="13"/>
    <x v="12"/>
    <x v="14"/>
    <x v="14"/>
  </r>
  <r>
    <x v="1"/>
    <x v="2"/>
    <x v="4"/>
    <x v="0"/>
    <x v="14"/>
    <x v="13"/>
    <x v="15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dataPosition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K14" firstHeaderRow="1" firstDataRow="3" firstDataCol="2"/>
  <pivotFields count="8">
    <pivotField axis="axisRow" compact="0" showAll="0">
      <items count="3">
        <item x="0"/>
        <item x="1"/>
        <item t="default"/>
      </items>
    </pivotField>
    <pivotField compact="0" showAll="0"/>
    <pivotField axis="axisRow" compact="0" showAll="0">
      <items count="7">
        <item x="4"/>
        <item x="0"/>
        <item x="3"/>
        <item x="2"/>
        <item x="1"/>
        <item x="5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/>
    <pivotField dataField="1" compact="0" showAll="0"/>
    <pivotField dataField="1" compact="0" showAll="0"/>
    <pivotField dataField="1" compact="0" showAll="0"/>
  </pivotFields>
  <rowFields count="2">
    <field x="0"/>
    <field x="2"/>
  </rowFields>
  <rowItems count="9">
    <i>
      <x/>
    </i>
    <i r="1">
      <x v="1"/>
    </i>
    <i r="1">
      <x v="2"/>
    </i>
    <i r="1">
      <x v="3"/>
    </i>
    <i r="1">
      <x v="4"/>
    </i>
    <i>
      <x v="1"/>
    </i>
    <i r="1">
      <x/>
    </i>
    <i r="1">
      <x v="5"/>
    </i>
    <i t="grand">
      <x/>
    </i>
  </rowItems>
  <colFields count="2">
    <field x="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求和项:本月指标" fld="5" baseField="0" baseItem="0"/>
    <dataField name="求和项:实际销售金额" fld="6" baseField="0" baseItem="0"/>
    <dataField name="求和项:销售成本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H17" totalsRowShown="0">
  <autoFilter xmlns:etc="http://www.wps.cn/officeDocument/2017/etCustomData" ref="A1:H17" etc:filterBottomFollowUsedRange="0"/>
  <tableColumns count="8">
    <tableColumn id="1" name="地区" dataDxfId="0"/>
    <tableColumn id="2" name="省份" dataDxfId="1"/>
    <tableColumn id="3" name="城市" dataDxfId="2"/>
    <tableColumn id="4" name="性质" dataDxfId="3"/>
    <tableColumn id="5" name="店名" dataDxfId="4"/>
    <tableColumn id="6" name="本月指标" dataDxfId="5"/>
    <tableColumn id="7" name="实际销售金额" dataDxfId="6"/>
    <tableColumn id="8" name="销售成本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4"/>
  <sheetViews>
    <sheetView tabSelected="1" workbookViewId="0">
      <selection activeCell="G2" sqref="G2"/>
    </sheetView>
  </sheetViews>
  <sheetFormatPr defaultColWidth="9.02654867256637" defaultRowHeight="13.5"/>
  <cols>
    <col min="1" max="1" width="7.51327433628319"/>
    <col min="2" max="2" width="9.24778761061947"/>
    <col min="3" max="9" width="21.0884955752212"/>
    <col min="10" max="10" width="25.3451327433628"/>
    <col min="11" max="11" width="21.0884955752212"/>
  </cols>
  <sheetData>
    <row r="3" spans="1:11">
      <c r="C3" t="s">
        <v>0</v>
      </c>
      <c r="D3" t="s">
        <v>1</v>
      </c>
    </row>
    <row r="4" spans="1:11">
      <c r="C4" t="s">
        <v>2</v>
      </c>
      <c r="D4"/>
      <c r="E4"/>
      <c r="F4" t="s">
        <v>3</v>
      </c>
      <c r="G4"/>
      <c r="H4"/>
      <c r="I4" t="s">
        <v>4</v>
      </c>
      <c r="J4" t="s">
        <v>5</v>
      </c>
      <c r="K4" t="s">
        <v>6</v>
      </c>
    </row>
    <row r="5" spans="1:11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9</v>
      </c>
      <c r="G5" t="s">
        <v>10</v>
      </c>
      <c r="H5" t="s">
        <v>11</v>
      </c>
    </row>
    <row r="6" spans="1:11">
      <c r="A6" t="s">
        <v>12</v>
      </c>
      <c r="B6"/>
      <c r="C6">
        <v>350000</v>
      </c>
      <c r="D6">
        <v>47394.5</v>
      </c>
      <c r="E6">
        <v>17636.83</v>
      </c>
      <c r="F6">
        <v>2670000</v>
      </c>
      <c r="G6">
        <v>1078838</v>
      </c>
      <c r="H6">
        <v>930696.46</v>
      </c>
      <c r="I6">
        <v>3020000</v>
      </c>
      <c r="J6">
        <v>1126232.5</v>
      </c>
      <c r="K6">
        <v>948333.29</v>
      </c>
    </row>
    <row r="7" spans="1:11">
      <c r="B7" t="s">
        <v>13</v>
      </c>
      <c r="C7"/>
      <c r="D7"/>
      <c r="E7"/>
      <c r="F7">
        <v>620000</v>
      </c>
      <c r="G7">
        <v>274026.5</v>
      </c>
      <c r="H7">
        <v>98536.23</v>
      </c>
      <c r="I7">
        <v>620000</v>
      </c>
      <c r="J7">
        <v>274026.5</v>
      </c>
      <c r="K7">
        <v>98536.23</v>
      </c>
    </row>
    <row r="8" spans="1:11">
      <c r="B8" t="s">
        <v>14</v>
      </c>
      <c r="C8"/>
      <c r="D8"/>
      <c r="E8"/>
      <c r="F8">
        <v>400000</v>
      </c>
      <c r="G8">
        <v>89999</v>
      </c>
      <c r="H8">
        <v>577495</v>
      </c>
      <c r="I8">
        <v>400000</v>
      </c>
      <c r="J8">
        <v>89999</v>
      </c>
      <c r="K8">
        <v>577495</v>
      </c>
    </row>
    <row r="9" spans="1:11">
      <c r="B9" t="s">
        <v>15</v>
      </c>
      <c r="C9">
        <v>350000</v>
      </c>
      <c r="D9">
        <v>47394.5</v>
      </c>
      <c r="E9">
        <v>17636.83</v>
      </c>
      <c r="I9">
        <v>350000</v>
      </c>
      <c r="J9">
        <v>47394.5</v>
      </c>
      <c r="K9">
        <v>17636.83</v>
      </c>
    </row>
    <row r="10" spans="1:11">
      <c r="B10" t="s">
        <v>16</v>
      </c>
      <c r="C10"/>
      <c r="F10">
        <v>1650000</v>
      </c>
      <c r="G10">
        <v>714812.5</v>
      </c>
      <c r="H10">
        <v>254665.23</v>
      </c>
      <c r="I10">
        <v>1650000</v>
      </c>
      <c r="J10">
        <v>714812.5</v>
      </c>
      <c r="K10">
        <v>254665.23</v>
      </c>
    </row>
    <row r="11" spans="1:11">
      <c r="A11" t="s">
        <v>17</v>
      </c>
      <c r="B11"/>
      <c r="C11">
        <v>580000</v>
      </c>
      <c r="D11">
        <v>108341.1</v>
      </c>
      <c r="E11">
        <v>37010.27</v>
      </c>
      <c r="F11">
        <v>200000</v>
      </c>
      <c r="G11">
        <v>59378</v>
      </c>
      <c r="H11">
        <v>21060.84</v>
      </c>
      <c r="I11">
        <v>780000</v>
      </c>
      <c r="J11">
        <v>167719.1</v>
      </c>
      <c r="K11">
        <v>58071.11</v>
      </c>
    </row>
    <row r="12" spans="1:11">
      <c r="B12" t="s">
        <v>18</v>
      </c>
      <c r="C12">
        <v>260000</v>
      </c>
      <c r="D12">
        <v>57255.6</v>
      </c>
      <c r="E12">
        <v>19604.2</v>
      </c>
      <c r="F12">
        <v>200000</v>
      </c>
      <c r="G12">
        <v>59378</v>
      </c>
      <c r="H12">
        <v>21060.84</v>
      </c>
      <c r="I12">
        <v>460000</v>
      </c>
      <c r="J12">
        <v>116633.6</v>
      </c>
      <c r="K12">
        <v>40665.04</v>
      </c>
    </row>
    <row r="13" spans="1:11">
      <c r="B13" t="s">
        <v>19</v>
      </c>
      <c r="C13">
        <v>320000</v>
      </c>
      <c r="D13">
        <v>51085.5</v>
      </c>
      <c r="E13">
        <v>17406.07</v>
      </c>
      <c r="I13">
        <v>320000</v>
      </c>
      <c r="J13">
        <v>51085.5</v>
      </c>
      <c r="K13">
        <v>17406.07</v>
      </c>
    </row>
    <row r="14" spans="1:11">
      <c r="A14" t="s">
        <v>20</v>
      </c>
      <c r="B14"/>
      <c r="C14">
        <v>930000</v>
      </c>
      <c r="D14">
        <v>155735.6</v>
      </c>
      <c r="E14">
        <v>54647.1</v>
      </c>
      <c r="F14">
        <v>2870000</v>
      </c>
      <c r="G14">
        <v>1138216</v>
      </c>
      <c r="H14">
        <v>951757.3</v>
      </c>
      <c r="I14">
        <v>3800000</v>
      </c>
      <c r="J14">
        <v>1293951.6</v>
      </c>
      <c r="K14">
        <v>1006404.4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G14" sqref="G14"/>
    </sheetView>
  </sheetViews>
  <sheetFormatPr defaultColWidth="9" defaultRowHeight="13.5" outlineLevelCol="7"/>
  <cols>
    <col min="1" max="1" width="8" customWidth="1"/>
    <col min="2" max="3" width="10" customWidth="1"/>
    <col min="4" max="4" width="8" customWidth="1"/>
    <col min="5" max="6" width="12" customWidth="1"/>
    <col min="7" max="7" width="15" customWidth="1"/>
    <col min="8" max="8" width="12" customWidth="1"/>
  </cols>
  <sheetData>
    <row r="1" spans="1:8">
      <c r="A1" s="1" t="s">
        <v>7</v>
      </c>
      <c r="B1" s="1" t="s">
        <v>21</v>
      </c>
      <c r="C1" s="1" t="s">
        <v>8</v>
      </c>
      <c r="D1" s="1" t="s">
        <v>0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2" t="s">
        <v>12</v>
      </c>
      <c r="B2" s="2" t="s">
        <v>26</v>
      </c>
      <c r="C2" s="2" t="s">
        <v>13</v>
      </c>
      <c r="D2" s="2" t="s">
        <v>3</v>
      </c>
      <c r="E2" s="2" t="s">
        <v>27</v>
      </c>
      <c r="F2" s="2">
        <v>150000</v>
      </c>
      <c r="G2" s="2">
        <v>57062</v>
      </c>
      <c r="H2" s="2">
        <v>20972.25</v>
      </c>
    </row>
    <row r="3" spans="1:8">
      <c r="A3" s="2" t="s">
        <v>12</v>
      </c>
      <c r="B3" s="2" t="s">
        <v>26</v>
      </c>
      <c r="C3" s="2" t="s">
        <v>13</v>
      </c>
      <c r="D3" s="2" t="s">
        <v>3</v>
      </c>
      <c r="E3" s="2" t="s">
        <v>28</v>
      </c>
      <c r="F3" s="2">
        <v>280000</v>
      </c>
      <c r="G3" s="2">
        <v>130192.5</v>
      </c>
      <c r="H3" s="2">
        <v>46208.17</v>
      </c>
    </row>
    <row r="4" spans="1:8">
      <c r="A4" s="2" t="s">
        <v>12</v>
      </c>
      <c r="B4" s="2" t="s">
        <v>26</v>
      </c>
      <c r="C4" s="2" t="s">
        <v>13</v>
      </c>
      <c r="D4" s="2" t="s">
        <v>3</v>
      </c>
      <c r="E4" s="2" t="s">
        <v>29</v>
      </c>
      <c r="F4" s="2">
        <v>190000</v>
      </c>
      <c r="G4" s="2">
        <v>86772</v>
      </c>
      <c r="H4" s="2">
        <v>31355.81</v>
      </c>
    </row>
    <row r="5" spans="1:8">
      <c r="A5" s="2" t="s">
        <v>12</v>
      </c>
      <c r="B5" s="2" t="s">
        <v>26</v>
      </c>
      <c r="C5" s="2" t="s">
        <v>16</v>
      </c>
      <c r="D5" s="2" t="s">
        <v>3</v>
      </c>
      <c r="E5" s="2" t="s">
        <v>30</v>
      </c>
      <c r="F5" s="2">
        <v>90000</v>
      </c>
      <c r="G5" s="2">
        <v>103890</v>
      </c>
      <c r="H5" s="2">
        <v>39519.21</v>
      </c>
    </row>
    <row r="6" spans="1:8">
      <c r="A6" s="2" t="s">
        <v>12</v>
      </c>
      <c r="B6" s="2" t="s">
        <v>26</v>
      </c>
      <c r="C6" s="2" t="s">
        <v>16</v>
      </c>
      <c r="D6" s="2" t="s">
        <v>3</v>
      </c>
      <c r="E6" s="2" t="s">
        <v>31</v>
      </c>
      <c r="F6" s="2">
        <v>270000</v>
      </c>
      <c r="G6" s="2">
        <v>107766</v>
      </c>
      <c r="H6" s="2">
        <v>38357.7</v>
      </c>
    </row>
    <row r="7" spans="1:8">
      <c r="A7" s="2" t="s">
        <v>12</v>
      </c>
      <c r="B7" s="2" t="s">
        <v>26</v>
      </c>
      <c r="C7" s="2" t="s">
        <v>16</v>
      </c>
      <c r="D7" s="2" t="s">
        <v>3</v>
      </c>
      <c r="E7" s="2" t="s">
        <v>32</v>
      </c>
      <c r="F7" s="2">
        <v>180000</v>
      </c>
      <c r="G7" s="2">
        <v>57502</v>
      </c>
      <c r="H7" s="2">
        <v>20867.31</v>
      </c>
    </row>
    <row r="8" spans="1:8">
      <c r="A8" s="2" t="s">
        <v>12</v>
      </c>
      <c r="B8" s="2" t="s">
        <v>26</v>
      </c>
      <c r="C8" s="2" t="s">
        <v>16</v>
      </c>
      <c r="D8" s="2" t="s">
        <v>3</v>
      </c>
      <c r="E8" s="2" t="s">
        <v>33</v>
      </c>
      <c r="F8" s="2">
        <v>280000</v>
      </c>
      <c r="G8" s="2">
        <v>116300</v>
      </c>
      <c r="H8" s="2">
        <v>40945.1</v>
      </c>
    </row>
    <row r="9" spans="1:8">
      <c r="A9" s="2" t="s">
        <v>12</v>
      </c>
      <c r="B9" s="2" t="s">
        <v>26</v>
      </c>
      <c r="C9" s="2" t="s">
        <v>16</v>
      </c>
      <c r="D9" s="2" t="s">
        <v>3</v>
      </c>
      <c r="E9" s="2" t="s">
        <v>34</v>
      </c>
      <c r="F9" s="2">
        <v>340000</v>
      </c>
      <c r="G9" s="2">
        <v>63287</v>
      </c>
      <c r="H9" s="2">
        <v>22490.31</v>
      </c>
    </row>
    <row r="10" spans="1:8">
      <c r="A10" s="2" t="s">
        <v>12</v>
      </c>
      <c r="B10" s="2" t="s">
        <v>26</v>
      </c>
      <c r="C10" s="2" t="s">
        <v>16</v>
      </c>
      <c r="D10" s="2" t="s">
        <v>3</v>
      </c>
      <c r="E10" s="2" t="s">
        <v>35</v>
      </c>
      <c r="F10" s="2">
        <v>150000</v>
      </c>
      <c r="G10" s="2">
        <v>112345</v>
      </c>
      <c r="H10" s="2">
        <v>39869.15</v>
      </c>
    </row>
    <row r="11" spans="1:8">
      <c r="A11" s="2" t="s">
        <v>12</v>
      </c>
      <c r="B11" s="2" t="s">
        <v>26</v>
      </c>
      <c r="C11" s="2" t="s">
        <v>16</v>
      </c>
      <c r="D11" s="2" t="s">
        <v>3</v>
      </c>
      <c r="E11" s="2" t="s">
        <v>36</v>
      </c>
      <c r="F11" s="2">
        <v>220000</v>
      </c>
      <c r="G11" s="2">
        <v>80036</v>
      </c>
      <c r="H11" s="2">
        <v>28736.46</v>
      </c>
    </row>
    <row r="12" spans="1:8">
      <c r="A12" s="2" t="s">
        <v>12</v>
      </c>
      <c r="B12" s="2" t="s">
        <v>26</v>
      </c>
      <c r="C12" s="2" t="s">
        <v>16</v>
      </c>
      <c r="D12" s="2" t="s">
        <v>3</v>
      </c>
      <c r="E12" s="2" t="s">
        <v>37</v>
      </c>
      <c r="F12" s="2">
        <v>120000</v>
      </c>
      <c r="G12" s="2">
        <v>73686.5</v>
      </c>
      <c r="H12" s="2">
        <v>23879.99</v>
      </c>
    </row>
    <row r="13" spans="1:8">
      <c r="A13" s="2" t="s">
        <v>12</v>
      </c>
      <c r="B13" s="2" t="s">
        <v>38</v>
      </c>
      <c r="C13" s="2" t="s">
        <v>15</v>
      </c>
      <c r="D13" s="2" t="s">
        <v>2</v>
      </c>
      <c r="E13" s="2" t="s">
        <v>39</v>
      </c>
      <c r="F13" s="2">
        <v>350000</v>
      </c>
      <c r="G13" s="2">
        <v>47394.5</v>
      </c>
      <c r="H13" s="2">
        <v>17636.83</v>
      </c>
    </row>
    <row r="14" spans="1:8">
      <c r="A14" s="2" t="s">
        <v>12</v>
      </c>
      <c r="B14" s="2" t="s">
        <v>38</v>
      </c>
      <c r="C14" s="2" t="s">
        <v>14</v>
      </c>
      <c r="D14" s="2" t="s">
        <v>3</v>
      </c>
      <c r="E14" s="2" t="s">
        <v>40</v>
      </c>
      <c r="F14" s="2">
        <v>400000</v>
      </c>
      <c r="G14" s="2">
        <v>89999</v>
      </c>
      <c r="H14" s="2">
        <v>577495</v>
      </c>
    </row>
    <row r="15" spans="1:8">
      <c r="A15" s="2" t="s">
        <v>17</v>
      </c>
      <c r="B15" s="2" t="s">
        <v>18</v>
      </c>
      <c r="C15" s="2" t="s">
        <v>18</v>
      </c>
      <c r="D15" s="2" t="s">
        <v>2</v>
      </c>
      <c r="E15" s="2" t="s">
        <v>40</v>
      </c>
      <c r="F15" s="2">
        <v>260000</v>
      </c>
      <c r="G15" s="2">
        <v>57255.6</v>
      </c>
      <c r="H15" s="2">
        <v>19604.2</v>
      </c>
    </row>
    <row r="16" spans="1:8">
      <c r="A16" s="2" t="s">
        <v>17</v>
      </c>
      <c r="B16" s="2" t="s">
        <v>19</v>
      </c>
      <c r="C16" s="2" t="s">
        <v>19</v>
      </c>
      <c r="D16" s="2" t="s">
        <v>2</v>
      </c>
      <c r="E16" s="2" t="s">
        <v>41</v>
      </c>
      <c r="F16" s="2">
        <v>320000</v>
      </c>
      <c r="G16" s="2">
        <v>51085.5</v>
      </c>
      <c r="H16" s="2">
        <v>17406.07</v>
      </c>
    </row>
    <row r="17" spans="1:8">
      <c r="A17" s="2" t="s">
        <v>17</v>
      </c>
      <c r="B17" s="2" t="s">
        <v>18</v>
      </c>
      <c r="C17" s="2" t="s">
        <v>18</v>
      </c>
      <c r="D17" s="2" t="s">
        <v>3</v>
      </c>
      <c r="E17" s="2" t="s">
        <v>42</v>
      </c>
      <c r="F17" s="2">
        <v>200000</v>
      </c>
      <c r="G17" s="2">
        <v>59378</v>
      </c>
      <c r="H17" s="2">
        <v>21060.84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销售情况表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2026-05-18T13:28:00Z</dcterms:created>
  <dcterms:modified xsi:type="dcterms:W3CDTF">2026-05-25T07:05:43Z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E675B28A80ED41F89C489DF92DB43D83_13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