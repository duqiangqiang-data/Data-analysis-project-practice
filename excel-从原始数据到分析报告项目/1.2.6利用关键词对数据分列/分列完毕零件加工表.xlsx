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零件加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<sst xmlns="http://schemas.openxmlformats.org/spreadsheetml/2006/main" count="65" uniqueCount="44">
  <si>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名称</t>
  </si>
  <si>
    <t>材质</t>
  </si>
  <si>
    <t>原材料尺寸</t>
  </si>
  <si>
    <t>单张产量</t>
  </si>
  <si>
    <t>单价/kg</t>
  </si>
  <si>
    <t>成品下料尺寸</t>
  </si>
  <si>
    <t>规格</t>
  </si>
  <si>
    <t>数量</t>
  </si>
  <si>
    <t>单位</t>
  </si>
  <si>
    <t>后壁板上构件-半</t>
  </si>
  <si>
    <t>DC03</t>
  </si>
  <si>
    <t>0.7*1250*860</t>
  </si>
  <si>
    <t>0.7*180*860/1件</t>
  </si>
  <si>
    <t>车门锁销固定座（外包）</t>
  </si>
  <si>
    <t>DC01</t>
  </si>
  <si>
    <t>1.2*1250*1110</t>
  </si>
  <si>
    <t>0.7*105*1000/26件</t>
  </si>
  <si>
    <t>车门锁销固定板（螺母板）外包</t>
  </si>
  <si>
    <t>Q235</t>
  </si>
  <si>
    <t>4.5*1050*780</t>
  </si>
  <si>
    <t>4.5*70*1000/41件</t>
  </si>
  <si>
    <t>行李箱盖锁销托架(外包)</t>
  </si>
  <si>
    <t>1.2*1250*1050</t>
  </si>
  <si>
    <t>1.2*105*1000/5件</t>
  </si>
  <si>
    <t>前门外蒙皮加强件(左)-半（外包）</t>
  </si>
  <si>
    <t>0.7*1000*750</t>
  </si>
  <si>
    <t>0.7*200*750/1套</t>
  </si>
  <si>
    <t>前门外蒙皮加强件(右)-半（外包）</t>
  </si>
  <si>
    <t>前门外蒙皮前加强件(左)（外包）</t>
  </si>
  <si>
    <t>0.7*1000*1400</t>
  </si>
  <si>
    <t>0.7*188*1000/10件</t>
  </si>
  <si>
    <t>前门外蒙皮前加强件(右)（外包）</t>
  </si>
  <si>
    <t>中门关门限位器加强件（左）外包</t>
  </si>
  <si>
    <t>1.0*1250*1290</t>
  </si>
  <si>
    <t>1250*140*1.0/10件</t>
  </si>
  <si>
    <t>中门关门限位器加强件（右）外包</t>
  </si>
  <si>
    <t>中门上臂加强件（左）（外包）</t>
  </si>
  <si>
    <t>1.0*1000*1180</t>
  </si>
  <si>
    <t>1.0*168*980/8套</t>
  </si>
  <si>
    <t>中门上臂加强件（右）（外包）</t>
  </si>
  <si>
    <t>中门锁加强件（左）（外包）</t>
  </si>
  <si>
    <t>1.2*1250*1320</t>
  </si>
  <si>
    <t>1.2*340*1320/5套</t>
  </si>
  <si>
    <t>中门锁加强件（右）（外包）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</si>
</sst>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H20" sqref="H20"/>
    </sheetView>
  </sheetViews>
  <sheetFormatPr defaultColWidth="9" defaultRowHeight="13.5"/>
  <cols>
    <col min="1" max="1" width="30" customWidth="1"/>
    <col min="2" max="2" width="8" customWidth="1"/>
    <col min="3" max="3" width="18" customWidth="1"/>
    <col min="4" max="5" width="10" customWidth="1"/>
    <col min="6" max="6" width="22.8407079646018" customWidth="1"/>
    <col min="7" max="7" width="16.5309734513274" customWidth="1"/>
    <col min="8" max="9" width="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7</v>
      </c>
      <c r="E2" s="2">
        <v>5.5</v>
      </c>
      <c r="F2" s="2" t="s">
        <v>12</v>
      </c>
      <c r="G2" s="2" t="str">
        <f>LEFT(F2,FIND("/",F2)-1)</f>
        <v>0.7*180*860</v>
      </c>
      <c r="H2" s="2" t="str">
        <f>MID(F2,LEN(G2)+2,LEN(F2)-LEN(G2)-2)</f>
        <v>1</v>
      </c>
      <c r="I2" s="2" t="str">
        <f>RIGHT(F2,1)</f>
        <v>件</v>
      </c>
    </row>
    <row r="3" spans="1:9">
      <c r="A3" s="2" t="s">
        <v>13</v>
      </c>
      <c r="B3" s="2" t="s">
        <v>14</v>
      </c>
      <c r="C3" s="2" t="s">
        <v>15</v>
      </c>
      <c r="D3" s="2">
        <v>312</v>
      </c>
      <c r="E3" s="2">
        <v>5.25</v>
      </c>
      <c r="F3" s="2" t="s">
        <v>16</v>
      </c>
      <c r="G3" s="2" t="str">
        <f t="shared" ref="G3:G15" si="0">LEFT(F3,FIND("/",F3)-1)</f>
        <v>0.7*105*1000</v>
      </c>
      <c r="H3" s="2" t="str">
        <f t="shared" ref="H3:H15" si="1">MID(F3,LEN(G3)+2,LEN(F3)-LEN(G3)-2)</f>
        <v>26</v>
      </c>
      <c r="I3" s="2" t="str">
        <f t="shared" ref="I3:I15" si="2">RIGHT(F3,1)</f>
        <v>件</v>
      </c>
    </row>
    <row r="4" spans="1:9">
      <c r="A4" s="2" t="s">
        <v>17</v>
      </c>
      <c r="B4" s="2" t="s">
        <v>18</v>
      </c>
      <c r="C4" s="2" t="s">
        <v>19</v>
      </c>
      <c r="D4" s="2">
        <v>454</v>
      </c>
      <c r="E4" s="2">
        <v>1.32</v>
      </c>
      <c r="F4" s="2" t="s">
        <v>20</v>
      </c>
      <c r="G4" s="2" t="str">
        <f t="shared" si="0"/>
        <v>4.5*70*1000</v>
      </c>
      <c r="H4" s="2" t="str">
        <f t="shared" si="1"/>
        <v>41</v>
      </c>
      <c r="I4" s="2" t="str">
        <f t="shared" si="2"/>
        <v>件</v>
      </c>
    </row>
    <row r="5" spans="1:9">
      <c r="A5" s="2" t="s">
        <v>21</v>
      </c>
      <c r="B5" s="2" t="s">
        <v>14</v>
      </c>
      <c r="C5" s="2" t="s">
        <v>22</v>
      </c>
      <c r="D5" s="2">
        <v>30</v>
      </c>
      <c r="E5" s="2">
        <v>5.05</v>
      </c>
      <c r="F5" s="2" t="s">
        <v>23</v>
      </c>
      <c r="G5" s="2" t="str">
        <f t="shared" si="0"/>
        <v>1.2*105*1000</v>
      </c>
      <c r="H5" s="2" t="str">
        <f t="shared" si="1"/>
        <v>5</v>
      </c>
      <c r="I5" s="2" t="str">
        <f t="shared" si="2"/>
        <v>件</v>
      </c>
    </row>
    <row r="6" spans="1:9">
      <c r="A6" s="2" t="s">
        <v>24</v>
      </c>
      <c r="B6" s="2" t="s">
        <v>14</v>
      </c>
      <c r="C6" s="2" t="s">
        <v>25</v>
      </c>
      <c r="D6" s="2">
        <v>10</v>
      </c>
      <c r="E6" s="2">
        <v>5.25</v>
      </c>
      <c r="F6" s="2" t="s">
        <v>26</v>
      </c>
      <c r="G6" s="2" t="str">
        <f t="shared" si="0"/>
        <v>0.7*200*750</v>
      </c>
      <c r="H6" s="2" t="str">
        <f t="shared" si="1"/>
        <v>1</v>
      </c>
      <c r="I6" s="2" t="str">
        <f t="shared" si="2"/>
        <v>套</v>
      </c>
    </row>
    <row r="7" spans="1:9">
      <c r="A7" s="2" t="s">
        <v>27</v>
      </c>
      <c r="B7" s="2" t="s">
        <v>14</v>
      </c>
      <c r="C7" s="2" t="s">
        <v>25</v>
      </c>
      <c r="D7" s="2">
        <v>10</v>
      </c>
      <c r="E7" s="2">
        <v>5.25</v>
      </c>
      <c r="F7" s="2" t="s">
        <v>26</v>
      </c>
      <c r="G7" s="2" t="str">
        <f t="shared" si="0"/>
        <v>0.7*200*750</v>
      </c>
      <c r="H7" s="2" t="str">
        <f t="shared" si="1"/>
        <v>1</v>
      </c>
      <c r="I7" s="2" t="str">
        <f t="shared" si="2"/>
        <v>套</v>
      </c>
    </row>
    <row r="8" spans="1:9">
      <c r="A8" s="2" t="s">
        <v>28</v>
      </c>
      <c r="B8" s="2" t="s">
        <v>14</v>
      </c>
      <c r="C8" s="2" t="s">
        <v>29</v>
      </c>
      <c r="D8" s="2">
        <v>70</v>
      </c>
      <c r="E8" s="2">
        <v>5.25</v>
      </c>
      <c r="F8" s="2" t="s">
        <v>30</v>
      </c>
      <c r="G8" s="2" t="str">
        <f t="shared" si="0"/>
        <v>0.7*188*1000</v>
      </c>
      <c r="H8" s="2" t="str">
        <f t="shared" si="1"/>
        <v>10</v>
      </c>
      <c r="I8" s="2" t="str">
        <f t="shared" si="2"/>
        <v>件</v>
      </c>
    </row>
    <row r="9" spans="1:9">
      <c r="A9" s="2" t="s">
        <v>31</v>
      </c>
      <c r="B9" s="2" t="s">
        <v>14</v>
      </c>
      <c r="C9" s="2" t="s">
        <v>29</v>
      </c>
      <c r="D9" s="2">
        <v>70</v>
      </c>
      <c r="E9" s="2">
        <v>5.25</v>
      </c>
      <c r="F9" s="2" t="s">
        <v>30</v>
      </c>
      <c r="G9" s="2" t="str">
        <f t="shared" si="0"/>
        <v>0.7*188*1000</v>
      </c>
      <c r="H9" s="2" t="str">
        <f t="shared" si="1"/>
        <v>10</v>
      </c>
      <c r="I9" s="2" t="str">
        <f t="shared" si="2"/>
        <v>件</v>
      </c>
    </row>
    <row r="10" spans="1:9">
      <c r="A10" s="2" t="s">
        <v>32</v>
      </c>
      <c r="B10" s="2" t="s">
        <v>14</v>
      </c>
      <c r="C10" s="2" t="s">
        <v>33</v>
      </c>
      <c r="D10" s="2">
        <v>90</v>
      </c>
      <c r="E10" s="2">
        <v>4.9</v>
      </c>
      <c r="F10" s="2" t="s">
        <v>34</v>
      </c>
      <c r="G10" s="2" t="str">
        <f t="shared" si="0"/>
        <v>1250*140*1.0</v>
      </c>
      <c r="H10" s="2" t="str">
        <f t="shared" si="1"/>
        <v>10</v>
      </c>
      <c r="I10" s="2" t="str">
        <f t="shared" si="2"/>
        <v>件</v>
      </c>
    </row>
    <row r="11" spans="1:9">
      <c r="A11" s="2" t="s">
        <v>35</v>
      </c>
      <c r="B11" s="2" t="s">
        <v>14</v>
      </c>
      <c r="C11" s="2" t="s">
        <v>33</v>
      </c>
      <c r="D11" s="2">
        <v>90</v>
      </c>
      <c r="E11" s="2">
        <v>4.9</v>
      </c>
      <c r="F11" s="2" t="s">
        <v>34</v>
      </c>
      <c r="G11" s="2" t="str">
        <f t="shared" si="0"/>
        <v>1250*140*1.0</v>
      </c>
      <c r="H11" s="2" t="str">
        <f t="shared" si="1"/>
        <v>10</v>
      </c>
      <c r="I11" s="2" t="str">
        <f t="shared" si="2"/>
        <v>件</v>
      </c>
    </row>
    <row r="12" spans="1:9">
      <c r="A12" s="2" t="s">
        <v>36</v>
      </c>
      <c r="B12" s="2" t="s">
        <v>14</v>
      </c>
      <c r="C12" s="2" t="s">
        <v>37</v>
      </c>
      <c r="D12" s="2">
        <v>112</v>
      </c>
      <c r="E12" s="2">
        <v>4.9</v>
      </c>
      <c r="F12" s="2" t="s">
        <v>38</v>
      </c>
      <c r="G12" s="2" t="str">
        <f t="shared" si="0"/>
        <v>1.0*168*980</v>
      </c>
      <c r="H12" s="2" t="str">
        <f t="shared" si="1"/>
        <v>8</v>
      </c>
      <c r="I12" s="2" t="str">
        <f t="shared" si="2"/>
        <v>套</v>
      </c>
    </row>
    <row r="13" spans="1:9">
      <c r="A13" s="2" t="s">
        <v>39</v>
      </c>
      <c r="B13" s="2" t="s">
        <v>14</v>
      </c>
      <c r="C13" s="2" t="s">
        <v>37</v>
      </c>
      <c r="D13" s="2">
        <v>112</v>
      </c>
      <c r="E13" s="2">
        <v>4.9</v>
      </c>
      <c r="F13" s="2" t="s">
        <v>38</v>
      </c>
      <c r="G13" s="2" t="str">
        <f t="shared" si="0"/>
        <v>1.0*168*980</v>
      </c>
      <c r="H13" s="2" t="str">
        <f t="shared" si="1"/>
        <v>8</v>
      </c>
      <c r="I13" s="2" t="str">
        <f t="shared" si="2"/>
        <v>套</v>
      </c>
    </row>
    <row r="14" spans="1:9">
      <c r="A14" s="2" t="s">
        <v>40</v>
      </c>
      <c r="B14" s="2" t="s">
        <v>14</v>
      </c>
      <c r="C14" s="2" t="s">
        <v>41</v>
      </c>
      <c r="D14" s="2">
        <v>30</v>
      </c>
      <c r="E14" s="2">
        <v>5.05</v>
      </c>
      <c r="F14" s="2" t="s">
        <v>42</v>
      </c>
      <c r="G14" s="2" t="str">
        <f t="shared" si="0"/>
        <v>1.2*340*1320</v>
      </c>
      <c r="H14" s="2" t="str">
        <f t="shared" si="1"/>
        <v>5</v>
      </c>
      <c r="I14" s="2" t="str">
        <f t="shared" si="2"/>
        <v>套</v>
      </c>
    </row>
    <row r="15" spans="1:9">
      <c r="A15" s="2" t="s">
        <v>43</v>
      </c>
      <c r="B15" s="2" t="s">
        <v>14</v>
      </c>
      <c r="C15" s="2" t="s">
        <v>41</v>
      </c>
      <c r="D15" s="2">
        <v>30</v>
      </c>
      <c r="E15" s="2">
        <v>5.05</v>
      </c>
      <c r="F15" s="2" t="s">
        <v>42</v>
      </c>
      <c r="G15" s="2" t="str">
        <f t="shared" si="0"/>
        <v>1.2*340*1320</v>
      </c>
      <c r="H15" s="2" t="str">
        <f t="shared" si="1"/>
        <v>5</v>
      </c>
      <c r="I15" s="2" t="str">
        <f t="shared" si="2"/>
        <v>套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零件加工表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2026-05-18T10:38:00Z</dcterms:created>
  <dcterms:modified xsi:type="dcterms:W3CDTF">2026-05-19T11:22:09Z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8DEAD12E3A8F4E74BCA77C47214393B2_13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