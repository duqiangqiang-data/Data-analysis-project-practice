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67" windowHeight="8715"/>
  </bookViews>
  <sheets>
    <sheet name="原始数据表格" sheetId="1" r:id="rId1"/>
    <sheet name="空单元格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<sst xmlns="http://schemas.openxmlformats.org/spreadsheetml/2006/main" count="155" uniqueCount="73">
  <si>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科目名称</t>
  </si>
  <si>
    <t>期间</t>
  </si>
  <si>
    <t>摘要</t>
  </si>
  <si>
    <t>原币借方</t>
  </si>
  <si>
    <t>期初余额</t>
  </si>
  <si>
    <t>-</t>
  </si>
  <si>
    <t>本期合计</t>
  </si>
  <si>
    <t>7,161.88</t>
  </si>
  <si>
    <t>营业税金及附加</t>
  </si>
  <si>
    <t>本年累计</t>
  </si>
  <si>
    <t>48,340.10</t>
  </si>
  <si>
    <t>209.41</t>
  </si>
  <si>
    <t>城建税</t>
  </si>
  <si>
    <t>1,416.86</t>
  </si>
  <si>
    <t>83.77</t>
  </si>
  <si>
    <t>地方教育费附加</t>
  </si>
  <si>
    <t>566.74</t>
  </si>
  <si>
    <t>41.88</t>
  </si>
  <si>
    <t>地方水利建设基金</t>
  </si>
  <si>
    <t>167.02</t>
  </si>
  <si>
    <t>125.65</t>
  </si>
  <si>
    <t>教育费附加</t>
  </si>
  <si>
    <t>850.13</t>
  </si>
  <si>
    <t>2,512.92</t>
  </si>
  <si>
    <t>文化事业建设费</t>
  </si>
  <si>
    <t>17,002.26</t>
  </si>
  <si>
    <t>4,188.25</t>
  </si>
  <si>
    <t>营业税</t>
  </si>
  <si>
    <t>28,337.09</t>
  </si>
  <si>
    <t>日期</t>
  </si>
  <si>
    <t>单据编号</t>
  </si>
  <si>
    <t>客户编码</t>
  </si>
  <si>
    <t>购货单位</t>
  </si>
  <si>
    <t>产品代码</t>
  </si>
  <si>
    <t>实发数量</t>
  </si>
  <si>
    <t>金额</t>
  </si>
  <si>
    <t>2014-5-2</t>
  </si>
  <si>
    <t>XOUT004666</t>
  </si>
  <si>
    <t>00000006</t>
  </si>
  <si>
    <t>客户C</t>
  </si>
  <si>
    <t>001</t>
  </si>
  <si>
    <t>2014-5-4</t>
  </si>
  <si>
    <t>XOUT004667</t>
  </si>
  <si>
    <t>53004102</t>
  </si>
  <si>
    <t>客户D</t>
  </si>
  <si>
    <t>007</t>
  </si>
  <si>
    <t/>
  </si>
  <si>
    <t>2014-5-3</t>
  </si>
  <si>
    <t>XOUT004668</t>
  </si>
  <si>
    <t>客户E</t>
  </si>
  <si>
    <t>006</t>
  </si>
  <si>
    <t>XOUT004669</t>
  </si>
  <si>
    <t>53005101</t>
  </si>
  <si>
    <t>客户A</t>
  </si>
  <si>
    <t>XOUT004671</t>
  </si>
  <si>
    <t>55702102</t>
  </si>
  <si>
    <t>客户Y</t>
  </si>
  <si>
    <t>XOUT004672</t>
  </si>
  <si>
    <t>37106103</t>
  </si>
  <si>
    <t>005</t>
  </si>
  <si>
    <t>002</t>
  </si>
  <si>
    <t>008</t>
  </si>
  <si>
    <t>XOUT004678</t>
  </si>
  <si>
    <t>91006101</t>
  </si>
  <si>
    <t>XOUT004679</t>
  </si>
  <si>
    <t>客户Q</t>
  </si>
  <si>
    <t>XOUT004680</t>
  </si>
  <si>
    <t>91311105</t>
  </si>
  <si>
    <t>XOUT004681</t>
  </si>
  <si>
    <t>91709103</t>
  </si>
  <si>
    <t>客户G</t>
  </si>
  <si>
    <t>XOUT004682</t>
  </si>
  <si>
    <t>37403102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</si>
</sst>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A3" sqref="A5 A6 A8 A9 A11 A12 A14 A15 A17 A18 A20 A21 A2 A3"/>
    </sheetView>
  </sheetViews>
  <sheetFormatPr defaultColWidth="9" defaultRowHeight="13.5" outlineLevelCol="3"/>
  <cols>
    <col min="1" max="1" width="20" customWidth="1"/>
    <col min="2" max="2" width="8" customWidth="1"/>
    <col min="3" max="3" width="12" customWidth="1"/>
    <col min="4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tr">
        <f>A3</f>
        <v>营业税金及附加</v>
      </c>
      <c r="B2" s="2">
        <v>11</v>
      </c>
      <c r="C2" s="2" t="s">
        <v>4</v>
      </c>
      <c r="D2" s="2" t="s">
        <v>5</v>
      </c>
    </row>
    <row r="3" spans="1:4">
      <c r="A3" s="2" t="str">
        <f>A4</f>
        <v>营业税金及附加</v>
      </c>
      <c r="B3" s="2">
        <v>11</v>
      </c>
      <c r="C3" s="2" t="s">
        <v>6</v>
      </c>
      <c r="D3" s="2" t="s">
        <v>7</v>
      </c>
    </row>
    <row r="4" spans="1:4">
      <c r="A4" s="2" t="s">
        <v>8</v>
      </c>
      <c r="B4" s="2">
        <v>11</v>
      </c>
      <c r="C4" s="2" t="s">
        <v>9</v>
      </c>
      <c r="D4" s="2" t="s">
        <v>10</v>
      </c>
    </row>
    <row r="5" spans="1:4">
      <c r="A5" s="2" t="str">
        <f>A6</f>
        <v>城建税</v>
      </c>
      <c r="B5" s="2">
        <v>11</v>
      </c>
      <c r="C5" s="2" t="s">
        <v>4</v>
      </c>
      <c r="D5" s="2" t="s">
        <v>5</v>
      </c>
    </row>
    <row r="6" spans="1:4">
      <c r="A6" s="2" t="str">
        <f>A7</f>
        <v>城建税</v>
      </c>
      <c r="B6" s="2">
        <v>11</v>
      </c>
      <c r="C6" s="2" t="s">
        <v>6</v>
      </c>
      <c r="D6" s="2" t="s">
        <v>11</v>
      </c>
    </row>
    <row r="7" spans="1:4">
      <c r="A7" s="2" t="s">
        <v>12</v>
      </c>
      <c r="B7" s="2">
        <v>11</v>
      </c>
      <c r="C7" s="2" t="s">
        <v>9</v>
      </c>
      <c r="D7" s="2" t="s">
        <v>13</v>
      </c>
    </row>
    <row r="8" spans="1:4">
      <c r="A8" s="2" t="str">
        <f>A9</f>
        <v>地方教育费附加</v>
      </c>
      <c r="B8" s="2">
        <v>11</v>
      </c>
      <c r="C8" s="2" t="s">
        <v>4</v>
      </c>
      <c r="D8" s="2" t="s">
        <v>5</v>
      </c>
    </row>
    <row r="9" spans="1:4">
      <c r="A9" s="2" t="str">
        <f>A10</f>
        <v>地方教育费附加</v>
      </c>
      <c r="B9" s="2">
        <v>11</v>
      </c>
      <c r="C9" s="2" t="s">
        <v>6</v>
      </c>
      <c r="D9" s="2" t="s">
        <v>14</v>
      </c>
    </row>
    <row r="10" spans="1:4">
      <c r="A10" s="2" t="s">
        <v>15</v>
      </c>
      <c r="B10" s="2">
        <v>11</v>
      </c>
      <c r="C10" s="2" t="s">
        <v>9</v>
      </c>
      <c r="D10" s="2" t="s">
        <v>16</v>
      </c>
    </row>
    <row r="11" spans="1:4">
      <c r="A11" s="2" t="str">
        <f>A12</f>
        <v>地方水利建设基金</v>
      </c>
      <c r="B11" s="2">
        <v>11</v>
      </c>
      <c r="C11" s="2" t="s">
        <v>4</v>
      </c>
      <c r="D11" s="2" t="s">
        <v>5</v>
      </c>
    </row>
    <row r="12" spans="1:4">
      <c r="A12" s="2" t="str">
        <f>A13</f>
        <v>地方水利建设基金</v>
      </c>
      <c r="B12" s="2">
        <v>11</v>
      </c>
      <c r="C12" s="2" t="s">
        <v>6</v>
      </c>
      <c r="D12" s="2" t="s">
        <v>17</v>
      </c>
    </row>
    <row r="13" spans="1:4">
      <c r="A13" s="2" t="s">
        <v>18</v>
      </c>
      <c r="B13" s="2">
        <v>11</v>
      </c>
      <c r="C13" s="2" t="s">
        <v>9</v>
      </c>
      <c r="D13" s="2" t="s">
        <v>19</v>
      </c>
    </row>
    <row r="14" spans="1:4">
      <c r="A14" s="2" t="str">
        <f>A15</f>
        <v>教育费附加</v>
      </c>
      <c r="B14" s="2">
        <v>11</v>
      </c>
      <c r="C14" s="2" t="s">
        <v>4</v>
      </c>
      <c r="D14" s="2" t="s">
        <v>5</v>
      </c>
    </row>
    <row r="15" spans="1:4">
      <c r="A15" s="2" t="str">
        <f>A16</f>
        <v>教育费附加</v>
      </c>
      <c r="B15" s="2">
        <v>11</v>
      </c>
      <c r="C15" s="2" t="s">
        <v>6</v>
      </c>
      <c r="D15" s="2" t="s">
        <v>20</v>
      </c>
    </row>
    <row r="16" spans="1:4">
      <c r="A16" s="2" t="s">
        <v>21</v>
      </c>
      <c r="B16" s="2">
        <v>11</v>
      </c>
      <c r="C16" s="2" t="s">
        <v>9</v>
      </c>
      <c r="D16" s="2" t="s">
        <v>22</v>
      </c>
    </row>
    <row r="17" spans="1:4">
      <c r="A17" s="2" t="str">
        <f>A18</f>
        <v>文化事业建设费</v>
      </c>
      <c r="B17" s="2">
        <v>11</v>
      </c>
      <c r="C17" s="2" t="s">
        <v>4</v>
      </c>
      <c r="D17" s="2" t="s">
        <v>5</v>
      </c>
    </row>
    <row r="18" spans="1:4">
      <c r="A18" s="2" t="str">
        <f>A19</f>
        <v>文化事业建设费</v>
      </c>
      <c r="B18" s="2">
        <v>11</v>
      </c>
      <c r="C18" s="2" t="s">
        <v>6</v>
      </c>
      <c r="D18" s="2" t="s">
        <v>23</v>
      </c>
    </row>
    <row r="19" spans="1:4">
      <c r="A19" s="2" t="s">
        <v>24</v>
      </c>
      <c r="B19" s="2">
        <v>11</v>
      </c>
      <c r="C19" s="2" t="s">
        <v>9</v>
      </c>
      <c r="D19" s="2" t="s">
        <v>25</v>
      </c>
    </row>
    <row r="20" spans="1:4">
      <c r="A20" s="2" t="str">
        <f>A21</f>
        <v>营业税</v>
      </c>
      <c r="B20" s="2">
        <v>11</v>
      </c>
      <c r="C20" s="2" t="s">
        <v>4</v>
      </c>
      <c r="D20" s="2" t="s">
        <v>5</v>
      </c>
    </row>
    <row r="21" spans="1:4">
      <c r="A21" s="2" t="str">
        <f>A22</f>
        <v>营业税</v>
      </c>
      <c r="B21" s="2">
        <v>11</v>
      </c>
      <c r="C21" s="2" t="s">
        <v>6</v>
      </c>
      <c r="D21" s="2" t="s">
        <v>26</v>
      </c>
    </row>
    <row r="22" spans="1:4">
      <c r="A22" s="2" t="s">
        <v>27</v>
      </c>
      <c r="B22" s="2">
        <v>11</v>
      </c>
      <c r="C22" s="2" t="s">
        <v>9</v>
      </c>
      <c r="D22" s="2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3.5" outlineLevelCol="6"/>
  <cols>
    <col min="1" max="1" width="12" customWidth="1"/>
    <col min="2" max="2" width="15" customWidth="1"/>
    <col min="3" max="3" width="12" customWidth="1"/>
    <col min="4" max="6" width="10" customWidth="1"/>
    <col min="7" max="7" width="12" customWidth="1"/>
  </cols>
  <sheetData>
    <row r="1" spans="1: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>
        <v>44350</v>
      </c>
      <c r="G2" s="2">
        <v>196356.73</v>
      </c>
    </row>
    <row r="3" spans="1:7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>
        <v>3800</v>
      </c>
      <c r="G3" s="2">
        <v>45044.92</v>
      </c>
    </row>
    <row r="4" spans="1:7">
      <c r="A4" s="2" t="s">
        <v>46</v>
      </c>
      <c r="B4" s="2" t="s">
        <v>46</v>
      </c>
      <c r="C4" s="2" t="s">
        <v>46</v>
      </c>
      <c r="D4" s="2" t="s">
        <v>46</v>
      </c>
      <c r="E4" s="2" t="s">
        <v>45</v>
      </c>
      <c r="F4" s="2">
        <v>600</v>
      </c>
      <c r="G4" s="2">
        <v>7112.36</v>
      </c>
    </row>
    <row r="5" spans="1:7">
      <c r="A5" s="2" t="s">
        <v>47</v>
      </c>
      <c r="B5" s="2" t="s">
        <v>48</v>
      </c>
      <c r="C5" s="2" t="s">
        <v>38</v>
      </c>
      <c r="D5" s="2" t="s">
        <v>49</v>
      </c>
      <c r="E5" s="2" t="s">
        <v>40</v>
      </c>
      <c r="F5" s="2">
        <v>14900</v>
      </c>
      <c r="G5" s="2">
        <v>65968.78</v>
      </c>
    </row>
    <row r="6" spans="1:7">
      <c r="A6" s="2" t="s">
        <v>46</v>
      </c>
      <c r="B6" s="2" t="s">
        <v>46</v>
      </c>
      <c r="C6" s="2" t="s">
        <v>46</v>
      </c>
      <c r="D6" s="2" t="s">
        <v>46</v>
      </c>
      <c r="E6" s="2" t="s">
        <v>50</v>
      </c>
      <c r="F6" s="2">
        <v>33450</v>
      </c>
      <c r="G6" s="2">
        <v>148097.69</v>
      </c>
    </row>
    <row r="7" spans="1:7">
      <c r="A7" s="2" t="s">
        <v>41</v>
      </c>
      <c r="B7" s="2" t="s">
        <v>51</v>
      </c>
      <c r="C7" s="2" t="s">
        <v>52</v>
      </c>
      <c r="D7" s="2" t="s">
        <v>53</v>
      </c>
      <c r="E7" s="2" t="s">
        <v>45</v>
      </c>
      <c r="F7" s="2">
        <v>5000</v>
      </c>
      <c r="G7" s="2">
        <v>59269.64</v>
      </c>
    </row>
    <row r="8" spans="1:7">
      <c r="A8" s="2" t="s">
        <v>41</v>
      </c>
      <c r="B8" s="2" t="s">
        <v>54</v>
      </c>
      <c r="C8" s="2" t="s">
        <v>55</v>
      </c>
      <c r="D8" s="2" t="s">
        <v>56</v>
      </c>
      <c r="E8" s="2" t="s">
        <v>45</v>
      </c>
      <c r="F8" s="2">
        <v>7680</v>
      </c>
      <c r="G8" s="2">
        <v>91038.16</v>
      </c>
    </row>
    <row r="9" spans="1:7">
      <c r="A9" s="2" t="s">
        <v>46</v>
      </c>
      <c r="B9" s="2" t="s">
        <v>46</v>
      </c>
      <c r="C9" s="2" t="s">
        <v>46</v>
      </c>
      <c r="D9" s="2" t="s">
        <v>46</v>
      </c>
      <c r="E9" s="2" t="s">
        <v>45</v>
      </c>
      <c r="F9" s="2">
        <v>1420</v>
      </c>
      <c r="G9" s="2">
        <v>16832.58</v>
      </c>
    </row>
    <row r="10" spans="1:7">
      <c r="A10" s="2" t="s">
        <v>41</v>
      </c>
      <c r="B10" s="2" t="s">
        <v>57</v>
      </c>
      <c r="C10" s="2" t="s">
        <v>58</v>
      </c>
      <c r="D10" s="2" t="s">
        <v>49</v>
      </c>
      <c r="E10" s="2" t="s">
        <v>59</v>
      </c>
      <c r="F10" s="2">
        <v>3800</v>
      </c>
      <c r="G10" s="2">
        <v>20342.73</v>
      </c>
    </row>
    <row r="11" spans="1:7">
      <c r="A11" s="2" t="s">
        <v>46</v>
      </c>
      <c r="B11" s="2" t="s">
        <v>46</v>
      </c>
      <c r="C11" s="2" t="s">
        <v>46</v>
      </c>
      <c r="D11" s="2" t="s">
        <v>46</v>
      </c>
      <c r="E11" s="2" t="s">
        <v>60</v>
      </c>
      <c r="F11" s="2">
        <v>2000</v>
      </c>
      <c r="G11" s="2">
        <v>12181.23</v>
      </c>
    </row>
    <row r="12" spans="1:7">
      <c r="A12" s="2" t="s">
        <v>46</v>
      </c>
      <c r="B12" s="2" t="s">
        <v>46</v>
      </c>
      <c r="C12" s="2" t="s">
        <v>46</v>
      </c>
      <c r="D12" s="2" t="s">
        <v>46</v>
      </c>
      <c r="E12" s="2" t="s">
        <v>45</v>
      </c>
      <c r="F12" s="2">
        <v>1500</v>
      </c>
      <c r="G12" s="2">
        <v>17780.89</v>
      </c>
    </row>
    <row r="13" spans="1:7">
      <c r="A13" s="2" t="s">
        <v>46</v>
      </c>
      <c r="B13" s="2" t="s">
        <v>46</v>
      </c>
      <c r="C13" s="2" t="s">
        <v>46</v>
      </c>
      <c r="D13" s="2" t="s">
        <v>46</v>
      </c>
      <c r="E13" s="2" t="s">
        <v>61</v>
      </c>
      <c r="F13" s="2">
        <v>2200</v>
      </c>
      <c r="G13" s="2">
        <v>45655</v>
      </c>
    </row>
    <row r="14" spans="1:7">
      <c r="A14" s="2" t="s">
        <v>41</v>
      </c>
      <c r="B14" s="2" t="s">
        <v>62</v>
      </c>
      <c r="C14" s="2" t="s">
        <v>63</v>
      </c>
      <c r="D14" s="2" t="s">
        <v>53</v>
      </c>
      <c r="E14" s="2" t="s">
        <v>45</v>
      </c>
      <c r="F14" s="2">
        <v>400</v>
      </c>
      <c r="G14" s="2">
        <v>4741.57</v>
      </c>
    </row>
    <row r="15" spans="1:7">
      <c r="A15" s="2" t="s">
        <v>41</v>
      </c>
      <c r="B15" s="2" t="s">
        <v>64</v>
      </c>
      <c r="C15" s="2" t="s">
        <v>58</v>
      </c>
      <c r="D15" s="2" t="s">
        <v>65</v>
      </c>
      <c r="E15" s="2" t="s">
        <v>59</v>
      </c>
      <c r="F15" s="2">
        <v>10000</v>
      </c>
      <c r="G15" s="2">
        <v>53533.49</v>
      </c>
    </row>
    <row r="16" spans="1:7">
      <c r="A16" s="2" t="s">
        <v>41</v>
      </c>
      <c r="B16" s="2" t="s">
        <v>66</v>
      </c>
      <c r="C16" s="2" t="s">
        <v>67</v>
      </c>
      <c r="D16" s="2" t="s">
        <v>39</v>
      </c>
      <c r="E16" s="2" t="s">
        <v>45</v>
      </c>
      <c r="F16" s="2">
        <v>2000</v>
      </c>
      <c r="G16" s="2">
        <v>18037.83</v>
      </c>
    </row>
    <row r="17" spans="1:7">
      <c r="A17" s="2" t="s">
        <v>46</v>
      </c>
      <c r="B17" s="2" t="s">
        <v>46</v>
      </c>
      <c r="C17" s="2" t="s">
        <v>46</v>
      </c>
      <c r="D17" s="2" t="s">
        <v>46</v>
      </c>
      <c r="E17" s="2" t="s">
        <v>45</v>
      </c>
      <c r="F17" s="2">
        <v>500</v>
      </c>
      <c r="G17" s="2">
        <v>5926.96</v>
      </c>
    </row>
    <row r="18" spans="1:7">
      <c r="A18" s="2" t="s">
        <v>46</v>
      </c>
      <c r="B18" s="2" t="s">
        <v>46</v>
      </c>
      <c r="C18" s="2" t="s">
        <v>46</v>
      </c>
      <c r="D18" s="2" t="s">
        <v>46</v>
      </c>
      <c r="E18" s="2" t="s">
        <v>60</v>
      </c>
      <c r="F18" s="2">
        <v>1520</v>
      </c>
      <c r="G18" s="2">
        <v>8826.02</v>
      </c>
    </row>
    <row r="19" spans="1:7">
      <c r="A19" s="2" t="s">
        <v>41</v>
      </c>
      <c r="B19" s="2" t="s">
        <v>68</v>
      </c>
      <c r="C19" s="2" t="s">
        <v>69</v>
      </c>
      <c r="D19" s="2" t="s">
        <v>70</v>
      </c>
      <c r="E19" s="2" t="s">
        <v>60</v>
      </c>
      <c r="F19" s="2">
        <v>2000</v>
      </c>
      <c r="G19" s="2">
        <v>11613.18</v>
      </c>
    </row>
    <row r="20" spans="1:7">
      <c r="A20" s="2" t="s">
        <v>41</v>
      </c>
      <c r="B20" s="2" t="s">
        <v>71</v>
      </c>
      <c r="C20" s="2" t="s">
        <v>72</v>
      </c>
      <c r="D20" s="2" t="s">
        <v>39</v>
      </c>
      <c r="E20" s="2" t="s">
        <v>45</v>
      </c>
      <c r="F20" s="2">
        <v>4060</v>
      </c>
      <c r="G20" s="2">
        <v>36616.8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原始数据表格</vt:lpstr>
      <vt:lpstr>空单元格数据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2026-05-18T11:25:00Z</dcterms:created>
  <dcterms:modified xsi:type="dcterms:W3CDTF">2026-05-19T12:09:47Z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AD2F4869D9974395800FC757CF72C514_13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