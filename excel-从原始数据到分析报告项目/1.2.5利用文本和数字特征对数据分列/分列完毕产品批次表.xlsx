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产品批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<sst xmlns="http://schemas.openxmlformats.org/spreadsheetml/2006/main" count="20" uniqueCount="20">
  <si>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日期</t>
  </si>
  <si>
    <t>品名</t>
  </si>
  <si>
    <t>批次</t>
  </si>
  <si>
    <t>数量</t>
  </si>
  <si>
    <t>单位规格</t>
  </si>
  <si>
    <t>2014-2-28</t>
  </si>
  <si>
    <t>aaaa</t>
  </si>
  <si>
    <t>120瓶(100ml)</t>
  </si>
  <si>
    <t>2014-3-1</t>
  </si>
  <si>
    <t>bbbb</t>
  </si>
  <si>
    <t>200支(5ml)</t>
  </si>
  <si>
    <t>2014-3-2</t>
  </si>
  <si>
    <t>cccc</t>
  </si>
  <si>
    <t>2200箱</t>
  </si>
  <si>
    <t>2014-3-3</t>
  </si>
  <si>
    <t>eeee</t>
  </si>
  <si>
    <t>20000瓶(50ml)</t>
  </si>
  <si>
    <t>2014-3-4</t>
  </si>
  <si>
    <t>dddd</t>
  </si>
  <si>
    <t>1006箱(AT-250)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</si>
</sst>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0" sqref="E10"/>
    </sheetView>
  </sheetViews>
  <sheetFormatPr defaultColWidth="9" defaultRowHeight="13.5" outlineLevelRow="5" outlineLevelCol="4"/>
  <cols>
    <col min="1" max="1" width="15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cm="1">
        <f ca="1" t="array" ref="D2">1*LEFT(C2,MATCH(TRUE,ISERROR(1*MID(C2,ROW(INDIRECT("1:"&amp;LEN(C2))),1)),0)-1)</f>
        <v>120</v>
      </c>
      <c r="E2" s="2" t="str">
        <f ca="1">RIGHT(C2,LEN(C2)-LEN(D2))</f>
        <v>瓶(100ml)</v>
      </c>
    </row>
    <row r="3" spans="1:5">
      <c r="A3" s="2" t="s">
        <v>8</v>
      </c>
      <c r="B3" s="2" t="s">
        <v>9</v>
      </c>
      <c r="C3" s="2" t="s">
        <v>10</v>
      </c>
      <c r="D3" s="2" cm="1">
        <f ca="1" t="array" ref="D3">1*LEFT(C3,MATCH(TRUE,ISERROR(1*MID(C3,ROW(INDIRECT("1:"&amp;LEN(C3))),1)),0)-1)</f>
        <v>200</v>
      </c>
      <c r="E3" s="2" t="str">
        <f ca="1">RIGHT(C3,LEN(C3)-LEN(D3))</f>
        <v>支(5ml)</v>
      </c>
    </row>
    <row r="4" spans="1:5">
      <c r="A4" s="2" t="s">
        <v>11</v>
      </c>
      <c r="B4" s="2" t="s">
        <v>12</v>
      </c>
      <c r="C4" s="2" t="s">
        <v>13</v>
      </c>
      <c r="D4" s="2" cm="1">
        <f ca="1" t="array" ref="D4">1*LEFT(C4,MATCH(TRUE,ISERROR(1*MID(C4,ROW(INDIRECT("1:"&amp;LEN(C4))),1)),0)-1)</f>
        <v>2200</v>
      </c>
      <c r="E4" s="2" t="str">
        <f ca="1">RIGHT(C4,LEN(C4)-LEN(D4))</f>
        <v>箱</v>
      </c>
    </row>
    <row r="5" spans="1:5">
      <c r="A5" s="2" t="s">
        <v>14</v>
      </c>
      <c r="B5" s="2" t="s">
        <v>15</v>
      </c>
      <c r="C5" s="2" t="s">
        <v>16</v>
      </c>
      <c r="D5" s="2" cm="1">
        <f ca="1" t="array" ref="D5">1*LEFT(C5,MATCH(TRUE,ISERROR(1*MID(C5,ROW(INDIRECT("1:"&amp;LEN(C5))),1)),0)-1)</f>
        <v>20000</v>
      </c>
      <c r="E5" s="2" t="str">
        <f ca="1">RIGHT(C5,LEN(C5)-LEN(D5))</f>
        <v>瓶(50ml)</v>
      </c>
    </row>
    <row r="6" spans="1:5">
      <c r="A6" s="2" t="s">
        <v>17</v>
      </c>
      <c r="B6" s="2" t="s">
        <v>18</v>
      </c>
      <c r="C6" s="2" t="s">
        <v>19</v>
      </c>
      <c r="D6" s="2" cm="1">
        <f ca="1" t="array" ref="D6">1*LEFT(C6,MATCH(TRUE,ISERROR(1*MID(C6,ROW(INDIRECT("1:"&amp;LEN(C6))),1)),0)-1)</f>
        <v>1006</v>
      </c>
      <c r="E6" s="2" t="str">
        <f ca="1">RIGHT(C6,LEN(C6)-LEN(D6))</f>
        <v>箱(AT-250)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产品批次表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2026-05-18T09:29:00Z</dcterms:created>
  <dcterms:modified xsi:type="dcterms:W3CDTF">2026-05-19T11:12:21Z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DE75CFB58FBC4516BA958B4870FCB2F3_13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